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SSOAL\Treino\DIO\EXCELL E CLAUDE\"/>
    </mc:Choice>
  </mc:AlternateContent>
  <xr:revisionPtr revIDLastSave="0" documentId="8_{8E46D6BF-1C94-4003-8853-8044C02F91C6}" xr6:coauthVersionLast="47" xr6:coauthVersionMax="47" xr10:uidLastSave="{00000000-0000-0000-0000-000000000000}"/>
  <bookViews>
    <workbookView xWindow="-120" yWindow="-120" windowWidth="29040" windowHeight="16440" activeTab="1" xr2:uid="{556A8E83-E334-487A-AD78-AF31BA8D60A2}"/>
  </bookViews>
  <sheets>
    <sheet name="APP" sheetId="1" r:id="rId1"/>
    <sheet name="Planilha2" sheetId="2" r:id="rId2"/>
  </sheets>
  <definedNames>
    <definedName name="aporte">APP!$D$17</definedName>
    <definedName name="patrimonio">APP!$D$20</definedName>
    <definedName name="qtd_anos">APP!$D$18</definedName>
    <definedName name="rendimento_carteira">APP!$D$13</definedName>
    <definedName name="sugestao">APP!$D$14</definedName>
    <definedName name="sugestao_de_investimento">APP!$D$14</definedName>
    <definedName name="taxa_mensal">APP!$D$19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1" i="1" l="1"/>
  <c r="D61" i="1" s="1"/>
  <c r="C57" i="1"/>
  <c r="D57" i="1" s="1"/>
  <c r="C58" i="1"/>
  <c r="D58" i="1" s="1"/>
  <c r="C59" i="1"/>
  <c r="D59" i="1" s="1"/>
  <c r="C60" i="1"/>
  <c r="D60" i="1" s="1"/>
  <c r="C56" i="1"/>
  <c r="D56" i="1" s="1"/>
  <c r="A15" i="2"/>
  <c r="A16" i="2"/>
  <c r="A17" i="2"/>
  <c r="A18" i="2"/>
  <c r="A19" i="2"/>
  <c r="A20" i="2"/>
  <c r="A5" i="2"/>
  <c r="A6" i="2"/>
  <c r="A7" i="2"/>
  <c r="A8" i="2"/>
  <c r="A9" i="2"/>
  <c r="A10" i="2"/>
  <c r="A11" i="2"/>
  <c r="A12" i="2"/>
  <c r="A13" i="2"/>
  <c r="A14" i="2"/>
  <c r="A4" i="2"/>
  <c r="A3" i="2"/>
  <c r="D20" i="1"/>
  <c r="D21" i="1" s="1"/>
  <c r="D14" i="1"/>
  <c r="C24" i="1"/>
  <c r="D24" i="1" s="1"/>
  <c r="C25" i="1"/>
  <c r="D25" i="1" s="1"/>
  <c r="C26" i="1"/>
  <c r="D26" i="1" s="1"/>
  <c r="C27" i="1"/>
  <c r="D27" i="1" s="1"/>
  <c r="C28" i="1"/>
  <c r="D28" i="1" s="1"/>
  <c r="D62" i="1" l="1"/>
</calcChain>
</file>

<file path=xl/sharedStrings.xml><?xml version="1.0" encoding="utf-8"?>
<sst xmlns="http://schemas.openxmlformats.org/spreadsheetml/2006/main" count="69" uniqueCount="34">
  <si>
    <t>Quanto investir por mês ?</t>
  </si>
  <si>
    <t>Por Quantos Anos ?</t>
  </si>
  <si>
    <t>Taxa de Rendimento mensal ?</t>
  </si>
  <si>
    <t>Patrimônio acumulado ?</t>
  </si>
  <si>
    <t>Dividendos Mensais ?</t>
  </si>
  <si>
    <t>INVESTIMENTO MENSAL</t>
  </si>
  <si>
    <t>CENÁRIOS</t>
  </si>
  <si>
    <t>Quanto em 2 Anos ?</t>
  </si>
  <si>
    <t>Quanto em 5 Anos ?</t>
  </si>
  <si>
    <t>Quanto em 10 Anos ?</t>
  </si>
  <si>
    <t>Quanto em 20 Anos ?</t>
  </si>
  <si>
    <t>Quanto em 30 Anos ?</t>
  </si>
  <si>
    <t>dividendo</t>
  </si>
  <si>
    <t>CONFIGURAÇÕES</t>
  </si>
  <si>
    <t>Salário</t>
  </si>
  <si>
    <t>Rendimento Carteira</t>
  </si>
  <si>
    <t>Sugestão de investimento</t>
  </si>
  <si>
    <t>Agressivo</t>
  </si>
  <si>
    <t>Moderado</t>
  </si>
  <si>
    <t>Conservador</t>
  </si>
  <si>
    <t>PERFIL</t>
  </si>
  <si>
    <t>VALOR A SER INVESTIDO POR MÊS</t>
  </si>
  <si>
    <t>Tipo de FII</t>
  </si>
  <si>
    <t>Percentual Sugerido</t>
  </si>
  <si>
    <t>Valores</t>
  </si>
  <si>
    <t>PAPEL</t>
  </si>
  <si>
    <t>TIJOLO</t>
  </si>
  <si>
    <t>HIBRIDOS</t>
  </si>
  <si>
    <t>FOFs</t>
  </si>
  <si>
    <t>DESENVOLVIMENTO</t>
  </si>
  <si>
    <t>HOTELARIAS</t>
  </si>
  <si>
    <t>TIPO DE PERFIL</t>
  </si>
  <si>
    <t>CHAVE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</si>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</sst>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2"/>
      <color theme="5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</fills>
  <borders count="30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medium">
        <color theme="1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medium">
        <color theme="1"/>
      </top>
      <bottom style="thin">
        <color theme="2"/>
      </bottom>
      <diagonal/>
    </border>
    <border>
      <left style="thin">
        <color theme="2"/>
      </left>
      <right style="medium">
        <color theme="1"/>
      </right>
      <top style="medium">
        <color theme="1"/>
      </top>
      <bottom style="thin">
        <color theme="2"/>
      </bottom>
      <diagonal/>
    </border>
    <border>
      <left style="medium">
        <color theme="1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medium">
        <color theme="1"/>
      </right>
      <top style="thin">
        <color theme="2"/>
      </top>
      <bottom style="thin">
        <color theme="2"/>
      </bottom>
      <diagonal/>
    </border>
    <border>
      <left style="medium">
        <color theme="1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medium">
        <color theme="1"/>
      </bottom>
      <diagonal/>
    </border>
    <border>
      <left style="thin">
        <color theme="2"/>
      </left>
      <right style="medium">
        <color theme="1"/>
      </right>
      <top style="thin">
        <color theme="2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1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1"/>
      </right>
      <top/>
      <bottom style="thin">
        <color theme="0" tint="-4.9989318521683403E-2"/>
      </bottom>
      <diagonal/>
    </border>
    <border>
      <left style="medium">
        <color theme="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theme="1"/>
      </left>
      <right style="thin">
        <color theme="0" tint="-4.9989318521683403E-2"/>
      </right>
      <top style="thin">
        <color theme="0" tint="-4.9989318521683403E-2"/>
      </top>
      <bottom style="medium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1"/>
      </bottom>
      <diagonal/>
    </border>
    <border>
      <left style="thin">
        <color theme="0" tint="-4.9989318521683403E-2"/>
      </left>
      <right style="medium">
        <color theme="1"/>
      </right>
      <top style="thin">
        <color theme="0" tint="-4.9989318521683403E-2"/>
      </top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 style="thin">
        <color theme="0" tint="-4.9989318521683403E-2"/>
      </right>
      <top style="medium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medium">
        <color theme="1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medium">
        <color theme="1"/>
      </right>
      <top style="medium">
        <color theme="1"/>
      </top>
      <bottom style="thin">
        <color theme="0" tint="-4.9989318521683403E-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Border="1"/>
    <xf numFmtId="0" fontId="0" fillId="3" borderId="0" xfId="0" applyFill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3" fillId="3" borderId="0" xfId="0" applyFont="1" applyFill="1" applyBorder="1" applyAlignment="1">
      <alignment horizontal="left"/>
    </xf>
    <xf numFmtId="10" fontId="0" fillId="0" borderId="0" xfId="0" applyNumberFormat="1"/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left" indent="2"/>
    </xf>
    <xf numFmtId="0" fontId="4" fillId="0" borderId="11" xfId="0" applyFont="1" applyBorder="1" applyAlignment="1">
      <alignment horizontal="left" vertical="top" indent="1"/>
    </xf>
    <xf numFmtId="0" fontId="4" fillId="0" borderId="7" xfId="0" applyFont="1" applyBorder="1" applyAlignment="1">
      <alignment horizontal="left" vertical="top" indent="1"/>
    </xf>
    <xf numFmtId="164" fontId="0" fillId="0" borderId="12" xfId="0" applyNumberFormat="1" applyBorder="1" applyAlignment="1">
      <alignment horizontal="left" vertical="center"/>
    </xf>
    <xf numFmtId="10" fontId="0" fillId="0" borderId="12" xfId="1" applyNumberFormat="1" applyFont="1" applyBorder="1" applyAlignment="1">
      <alignment horizontal="left" vertical="center"/>
    </xf>
    <xf numFmtId="164" fontId="0" fillId="0" borderId="20" xfId="0" applyNumberFormat="1" applyBorder="1" applyAlignment="1">
      <alignment horizontal="left"/>
    </xf>
    <xf numFmtId="10" fontId="0" fillId="0" borderId="22" xfId="0" applyNumberFormat="1" applyBorder="1" applyAlignment="1">
      <alignment horizontal="center"/>
    </xf>
    <xf numFmtId="0" fontId="5" fillId="5" borderId="11" xfId="0" applyFont="1" applyFill="1" applyBorder="1" applyAlignment="1">
      <alignment horizontal="left" vertical="top" indent="1"/>
    </xf>
    <xf numFmtId="0" fontId="5" fillId="5" borderId="7" xfId="0" applyFont="1" applyFill="1" applyBorder="1" applyAlignment="1">
      <alignment horizontal="left" vertical="top" indent="1"/>
    </xf>
    <xf numFmtId="8" fontId="5" fillId="5" borderId="12" xfId="0" applyNumberFormat="1" applyFont="1" applyFill="1" applyBorder="1" applyAlignment="1">
      <alignment horizontal="left" vertical="center"/>
    </xf>
    <xf numFmtId="0" fontId="5" fillId="5" borderId="13" xfId="0" applyFont="1" applyFill="1" applyBorder="1" applyAlignment="1">
      <alignment horizontal="left" vertical="top" indent="1"/>
    </xf>
    <xf numFmtId="0" fontId="5" fillId="5" borderId="14" xfId="0" applyFont="1" applyFill="1" applyBorder="1" applyAlignment="1">
      <alignment horizontal="left" vertical="top" indent="1"/>
    </xf>
    <xf numFmtId="8" fontId="5" fillId="5" borderId="15" xfId="0" applyNumberFormat="1" applyFont="1" applyFill="1" applyBorder="1" applyAlignment="1">
      <alignment horizontal="left" vertical="center"/>
    </xf>
    <xf numFmtId="0" fontId="5" fillId="5" borderId="23" xfId="0" applyFont="1" applyFill="1" applyBorder="1" applyAlignment="1">
      <alignment horizontal="left" vertical="center" indent="1"/>
    </xf>
    <xf numFmtId="0" fontId="5" fillId="5" borderId="24" xfId="0" applyFont="1" applyFill="1" applyBorder="1" applyAlignment="1">
      <alignment horizontal="left" vertical="center" indent="1"/>
    </xf>
    <xf numFmtId="164" fontId="0" fillId="5" borderId="25" xfId="0" applyNumberFormat="1" applyFill="1" applyBorder="1" applyAlignment="1">
      <alignment horizontal="left"/>
    </xf>
    <xf numFmtId="0" fontId="5" fillId="5" borderId="21" xfId="0" applyFont="1" applyFill="1" applyBorder="1" applyAlignment="1">
      <alignment horizontal="left" indent="1"/>
    </xf>
    <xf numFmtId="0" fontId="5" fillId="5" borderId="18" xfId="0" applyFont="1" applyFill="1" applyBorder="1" applyAlignment="1">
      <alignment horizontal="left" indent="1"/>
    </xf>
    <xf numFmtId="0" fontId="5" fillId="5" borderId="19" xfId="0" applyFont="1" applyFill="1" applyBorder="1" applyAlignment="1">
      <alignment horizontal="left" indent="1"/>
    </xf>
    <xf numFmtId="0" fontId="5" fillId="5" borderId="17" xfId="0" applyFont="1" applyFill="1" applyBorder="1" applyAlignment="1">
      <alignment horizontal="left" indent="1"/>
    </xf>
    <xf numFmtId="0" fontId="4" fillId="5" borderId="21" xfId="0" applyFont="1" applyFill="1" applyBorder="1" applyAlignment="1">
      <alignment horizontal="left" indent="1"/>
    </xf>
    <xf numFmtId="8" fontId="0" fillId="5" borderId="22" xfId="0" applyNumberFormat="1" applyFill="1" applyBorder="1" applyAlignment="1">
      <alignment horizontal="left"/>
    </xf>
    <xf numFmtId="0" fontId="4" fillId="5" borderId="23" xfId="0" applyFont="1" applyFill="1" applyBorder="1" applyAlignment="1">
      <alignment horizontal="left" indent="1"/>
    </xf>
    <xf numFmtId="8" fontId="0" fillId="5" borderId="25" xfId="0" applyNumberFormat="1" applyFill="1" applyBorder="1" applyAlignment="1">
      <alignment horizontal="left"/>
    </xf>
    <xf numFmtId="0" fontId="3" fillId="2" borderId="27" xfId="0" applyFont="1" applyFill="1" applyBorder="1" applyAlignment="1">
      <alignment horizontal="left"/>
    </xf>
    <xf numFmtId="0" fontId="3" fillId="2" borderId="28" xfId="0" applyFont="1" applyFill="1" applyBorder="1" applyAlignment="1">
      <alignment horizontal="left"/>
    </xf>
    <xf numFmtId="0" fontId="6" fillId="2" borderId="29" xfId="0" applyFont="1" applyFill="1" applyBorder="1" applyAlignment="1">
      <alignment horizontal="left"/>
    </xf>
    <xf numFmtId="8" fontId="0" fillId="5" borderId="18" xfId="0" applyNumberFormat="1" applyFill="1" applyBorder="1" applyAlignment="1">
      <alignment horizontal="left"/>
    </xf>
    <xf numFmtId="8" fontId="0" fillId="5" borderId="24" xfId="0" applyNumberForma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5" fillId="0" borderId="3" xfId="0" applyFont="1" applyBorder="1" applyAlignment="1">
      <alignment horizontal="left" indent="2"/>
    </xf>
    <xf numFmtId="0" fontId="0" fillId="0" borderId="5" xfId="0" applyBorder="1"/>
    <xf numFmtId="0" fontId="5" fillId="5" borderId="6" xfId="0" applyFont="1" applyFill="1" applyBorder="1" applyAlignment="1">
      <alignment horizontal="left"/>
    </xf>
    <xf numFmtId="164" fontId="0" fillId="5" borderId="26" xfId="0" applyNumberFormat="1" applyFill="1" applyBorder="1" applyAlignment="1">
      <alignment horizontal="left"/>
    </xf>
    <xf numFmtId="0" fontId="0" fillId="5" borderId="16" xfId="0" applyFill="1" applyBorder="1"/>
    <xf numFmtId="0" fontId="2" fillId="7" borderId="1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10" fontId="1" fillId="0" borderId="0" xfId="1" applyNumberFormat="1" applyFont="1" applyBorder="1"/>
    <xf numFmtId="164" fontId="0" fillId="0" borderId="5" xfId="0" applyNumberFormat="1" applyFont="1" applyBorder="1"/>
    <xf numFmtId="0" fontId="2" fillId="7" borderId="6" xfId="0" applyFont="1" applyFill="1" applyBorder="1" applyAlignment="1">
      <alignment horizontal="left" indent="2"/>
    </xf>
    <xf numFmtId="0" fontId="2" fillId="7" borderId="26" xfId="0" applyFont="1" applyFill="1" applyBorder="1"/>
    <xf numFmtId="164" fontId="2" fillId="7" borderId="16" xfId="0" applyNumberFormat="1" applyFont="1" applyFill="1" applyBorder="1"/>
    <xf numFmtId="10" fontId="1" fillId="0" borderId="0" xfId="1" applyNumberFormat="1" applyFont="1" applyFill="1" applyBorder="1"/>
    <xf numFmtId="0" fontId="0" fillId="0" borderId="0" xfId="0" applyAlignment="1">
      <alignment vertical="center"/>
    </xf>
    <xf numFmtId="10" fontId="0" fillId="0" borderId="0" xfId="0" applyNumberFormat="1" applyBorder="1"/>
    <xf numFmtId="0" fontId="2" fillId="3" borderId="0" xfId="0" applyFont="1" applyFill="1" applyBorder="1" applyAlignment="1">
      <alignment horizontal="left" indent="2"/>
    </xf>
    <xf numFmtId="0" fontId="2" fillId="3" borderId="0" xfId="0" applyFont="1" applyFill="1" applyBorder="1"/>
    <xf numFmtId="164" fontId="2" fillId="3" borderId="0" xfId="0" applyNumberFormat="1" applyFont="1" applyFill="1" applyBorder="1"/>
    <xf numFmtId="0" fontId="2" fillId="4" borderId="0" xfId="0" applyFont="1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APP!$B$56</c:f>
              <c:strCache>
                <c:ptCount val="1"/>
                <c:pt idx="0">
                  <c:v>PAPEL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 w="19050">
              <a:solidFill>
                <a:schemeClr val="lt1"/>
              </a:solidFill>
            </a:ln>
            <a:effectLst>
              <a:innerShdw blurRad="114300">
                <a:schemeClr val="accent1"/>
              </a:innerShdw>
            </a:effectLst>
          </c:spPr>
          <c:invertIfNegative val="0"/>
          <c:val>
            <c:numRef>
              <c:f>APP!$C$56</c:f>
              <c:numCache>
                <c:formatCode>0.00%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A-4AA1-BC1C-D48A78D3C0C0}"/>
            </c:ext>
          </c:extLst>
        </c:ser>
        <c:ser>
          <c:idx val="1"/>
          <c:order val="1"/>
          <c:tx>
            <c:strRef>
              <c:f>APP!$B$57</c:f>
              <c:strCache>
                <c:ptCount val="1"/>
                <c:pt idx="0">
                  <c:v>TIJOLO</c:v>
                </c:pt>
              </c:strCache>
            </c:strRef>
          </c:tx>
          <c:spPr>
            <a:pattFill prst="ltUpDiag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 w="19050">
              <a:solidFill>
                <a:schemeClr val="lt1"/>
              </a:solidFill>
            </a:ln>
            <a:effectLst>
              <a:innerShdw blurRad="114300">
                <a:schemeClr val="accent2"/>
              </a:innerShdw>
            </a:effectLst>
          </c:spPr>
          <c:invertIfNegative val="0"/>
          <c:val>
            <c:numRef>
              <c:f>APP!$C$57</c:f>
              <c:numCache>
                <c:formatCode>0.00%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21A-4AA1-BC1C-D48A78D3C0C0}"/>
            </c:ext>
          </c:extLst>
        </c:ser>
        <c:ser>
          <c:idx val="2"/>
          <c:order val="2"/>
          <c:tx>
            <c:strRef>
              <c:f>APP!$B$58</c:f>
              <c:strCache>
                <c:ptCount val="1"/>
                <c:pt idx="0">
                  <c:v>HIBRIDOS</c:v>
                </c:pt>
              </c:strCache>
            </c:strRef>
          </c:tx>
          <c:spPr>
            <a:pattFill prst="ltUpDiag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 w="19050">
              <a:solidFill>
                <a:schemeClr val="lt1"/>
              </a:solidFill>
            </a:ln>
            <a:effectLst>
              <a:innerShdw blurRad="114300">
                <a:schemeClr val="accent3"/>
              </a:innerShdw>
            </a:effectLst>
          </c:spPr>
          <c:invertIfNegative val="0"/>
          <c:val>
            <c:numRef>
              <c:f>APP!$C$58</c:f>
              <c:numCache>
                <c:formatCode>0.00%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1A-4AA1-BC1C-D48A78D3C0C0}"/>
            </c:ext>
          </c:extLst>
        </c:ser>
        <c:ser>
          <c:idx val="3"/>
          <c:order val="3"/>
          <c:tx>
            <c:strRef>
              <c:f>APP!$B$59</c:f>
              <c:strCache>
                <c:ptCount val="1"/>
                <c:pt idx="0">
                  <c:v>FOFs</c:v>
                </c:pt>
              </c:strCache>
            </c:strRef>
          </c:tx>
          <c:spPr>
            <a:pattFill prst="ltUpDiag">
              <a:fgClr>
                <a:schemeClr val="accent4"/>
              </a:fgClr>
              <a:bgClr>
                <a:schemeClr val="accent4">
                  <a:lumMod val="20000"/>
                  <a:lumOff val="80000"/>
                </a:schemeClr>
              </a:bgClr>
            </a:pattFill>
            <a:ln w="19050">
              <a:solidFill>
                <a:schemeClr val="lt1"/>
              </a:solidFill>
            </a:ln>
            <a:effectLst>
              <a:innerShdw blurRad="114300">
                <a:schemeClr val="accent4"/>
              </a:innerShdw>
            </a:effectLst>
          </c:spPr>
          <c:invertIfNegative val="0"/>
          <c:val>
            <c:numRef>
              <c:f>APP!$C$59</c:f>
              <c:numCache>
                <c:formatCode>0.00%</c:formatCode>
                <c:ptCount val="1"/>
                <c:pt idx="0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21A-4AA1-BC1C-D48A78D3C0C0}"/>
            </c:ext>
          </c:extLst>
        </c:ser>
        <c:ser>
          <c:idx val="4"/>
          <c:order val="4"/>
          <c:tx>
            <c:strRef>
              <c:f>APP!$B$60</c:f>
              <c:strCache>
                <c:ptCount val="1"/>
                <c:pt idx="0">
                  <c:v>DESENVOLVIMENTO</c:v>
                </c:pt>
              </c:strCache>
            </c:strRef>
          </c:tx>
          <c:spPr>
            <a:pattFill prst="ltUpDiag">
              <a:fgClr>
                <a:schemeClr val="accent5"/>
              </a:fgClr>
              <a:bgClr>
                <a:schemeClr val="accent5">
                  <a:lumMod val="20000"/>
                  <a:lumOff val="80000"/>
                </a:schemeClr>
              </a:bgClr>
            </a:pattFill>
            <a:ln w="19050">
              <a:solidFill>
                <a:schemeClr val="lt1"/>
              </a:solidFill>
            </a:ln>
            <a:effectLst>
              <a:innerShdw blurRad="114300">
                <a:schemeClr val="accent5"/>
              </a:innerShdw>
            </a:effectLst>
          </c:spPr>
          <c:invertIfNegative val="0"/>
          <c:val>
            <c:numRef>
              <c:f>APP!$C$60</c:f>
              <c:numCache>
                <c:formatCode>0.00%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21A-4AA1-BC1C-D48A78D3C0C0}"/>
            </c:ext>
          </c:extLst>
        </c:ser>
        <c:ser>
          <c:idx val="5"/>
          <c:order val="5"/>
          <c:tx>
            <c:strRef>
              <c:f>APP!$B$61</c:f>
              <c:strCache>
                <c:ptCount val="1"/>
                <c:pt idx="0">
                  <c:v>HOTELARIAS</c:v>
                </c:pt>
              </c:strCache>
            </c:strRef>
          </c:tx>
          <c:spPr>
            <a:pattFill prst="ltUpDiag">
              <a:fgClr>
                <a:schemeClr val="accent6"/>
              </a:fgClr>
              <a:bgClr>
                <a:schemeClr val="accent6">
                  <a:lumMod val="20000"/>
                  <a:lumOff val="80000"/>
                </a:schemeClr>
              </a:bgClr>
            </a:pattFill>
            <a:ln w="19050">
              <a:solidFill>
                <a:schemeClr val="lt1"/>
              </a:solidFill>
            </a:ln>
            <a:effectLst>
              <a:innerShdw blurRad="114300">
                <a:schemeClr val="accent6"/>
              </a:innerShdw>
            </a:effectLst>
          </c:spPr>
          <c:invertIfNegative val="0"/>
          <c:val>
            <c:numRef>
              <c:f>APP!$C$61</c:f>
              <c:numCache>
                <c:formatCode>0.00%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21A-4AA1-BC1C-D48A78D3C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94989504"/>
        <c:axId val="522733936"/>
      </c:barChart>
      <c:catAx>
        <c:axId val="994989504"/>
        <c:scaling>
          <c:orientation val="minMax"/>
        </c:scaling>
        <c:delete val="0"/>
        <c:axPos val="b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2733936"/>
        <c:auto val="1"/>
        <c:lblAlgn val="ctr"/>
        <c:lblOffset val="100"/>
        <c:noMultiLvlLbl val="0"/>
      </c:catAx>
      <c:valAx>
        <c:axId val="522733936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4989504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446943</xdr:colOff>
      <xdr:row>0</xdr:row>
      <xdr:rowOff>175847</xdr:rowOff>
    </xdr:from>
    <xdr:to>
      <xdr:col>4</xdr:col>
      <xdr:colOff>278424</xdr:colOff>
      <xdr:row>8</xdr:row>
      <xdr:rowOff>120163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2CDFAED-C544-A088-8B4B-CEF467F6B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6943" y="175847"/>
          <a:ext cx="6359769" cy="1468316"/>
        </a:xfrm>
        <a:prstGeom prst="rect">
          <a:avLst/>
        </a:prstGeom>
      </xdr:spPr>
    </xdr:pic>
    <xdr:clientData/>
  </xdr:twoCellAnchor>
  <xdr:twoCellAnchor>
    <xdr:from>
      <xdr:col>1</xdr:col>
      <xdr:colOff>10989</xdr:colOff>
      <xdr:row>62</xdr:row>
      <xdr:rowOff>139210</xdr:rowOff>
    </xdr:from>
    <xdr:to>
      <xdr:col>3</xdr:col>
      <xdr:colOff>1150325</xdr:colOff>
      <xdr:row>74</xdr:row>
      <xdr:rowOff>21979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6A7836B-254B-F613-F9E7-9B516E8DEE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91C9C-71E7-4042-A72A-23E80B17724B}">
  <dimension ref="A1:G75"/>
  <sheetViews>
    <sheetView showGridLines="0" topLeftCell="A23" zoomScale="130" zoomScaleNormal="130" workbookViewId="0">
      <selection activeCell="C30" sqref="C30"/>
    </sheetView>
  </sheetViews>
  <sheetFormatPr defaultColWidth="0" defaultRowHeight="15" zeroHeight="1" x14ac:dyDescent="0.25"/>
  <cols>
    <col min="1" max="1" width="9.140625" customWidth="1"/>
    <col min="2" max="2" width="47.7109375" style="15" customWidth="1"/>
    <col min="3" max="3" width="23.85546875" customWidth="1"/>
    <col min="4" max="4" width="17.28515625" customWidth="1"/>
    <col min="5" max="5" width="17.140625" customWidth="1"/>
    <col min="6" max="6" width="11.42578125" hidden="1" customWidth="1"/>
    <col min="7" max="7" width="10.28515625" hidden="1" customWidth="1"/>
    <col min="8" max="11" width="9.140625" hidden="1" customWidth="1"/>
    <col min="12" max="16383" width="9.140625" hidden="1"/>
    <col min="16384" max="16384" width="9.140625" hidden="1" customWidth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ht="15.75" thickBot="1" x14ac:dyDescent="0.3"/>
    <row r="11" spans="2:4" ht="18.75" x14ac:dyDescent="0.25">
      <c r="B11" s="12" t="s">
        <v>13</v>
      </c>
      <c r="C11" s="13"/>
      <c r="D11" s="14"/>
    </row>
    <row r="12" spans="2:4" ht="15.75" x14ac:dyDescent="0.25">
      <c r="B12" s="33" t="s">
        <v>14</v>
      </c>
      <c r="C12" s="34"/>
      <c r="D12" s="20">
        <v>5000</v>
      </c>
    </row>
    <row r="13" spans="2:4" ht="15.75" x14ac:dyDescent="0.25">
      <c r="B13" s="31" t="s">
        <v>15</v>
      </c>
      <c r="C13" s="32"/>
      <c r="D13" s="21">
        <v>6.0000000000000001E-3</v>
      </c>
    </row>
    <row r="14" spans="2:4" ht="16.5" thickBot="1" x14ac:dyDescent="0.3">
      <c r="B14" s="28" t="s">
        <v>16</v>
      </c>
      <c r="C14" s="29"/>
      <c r="D14" s="30">
        <f>D12*30%</f>
        <v>1500</v>
      </c>
    </row>
    <row r="15" spans="2:4" ht="15.75" thickBot="1" x14ac:dyDescent="0.3"/>
    <row r="16" spans="2:4" ht="26.25" x14ac:dyDescent="0.25">
      <c r="B16" s="8" t="s">
        <v>5</v>
      </c>
      <c r="C16" s="9"/>
      <c r="D16" s="10"/>
    </row>
    <row r="17" spans="1:5" ht="15" customHeight="1" x14ac:dyDescent="0.25">
      <c r="B17" s="16" t="s">
        <v>0</v>
      </c>
      <c r="C17" s="17"/>
      <c r="D17" s="18">
        <v>500</v>
      </c>
    </row>
    <row r="18" spans="1:5" ht="15" customHeight="1" x14ac:dyDescent="0.25">
      <c r="B18" s="16" t="s">
        <v>1</v>
      </c>
      <c r="C18" s="17"/>
      <c r="D18" s="11">
        <v>5</v>
      </c>
    </row>
    <row r="19" spans="1:5" ht="15" customHeight="1" x14ac:dyDescent="0.25">
      <c r="B19" s="16" t="s">
        <v>2</v>
      </c>
      <c r="C19" s="17"/>
      <c r="D19" s="19">
        <v>1.0789999999999999E-2</v>
      </c>
    </row>
    <row r="20" spans="1:5" ht="15" customHeight="1" x14ac:dyDescent="0.25">
      <c r="B20" s="22" t="s">
        <v>3</v>
      </c>
      <c r="C20" s="23"/>
      <c r="D20" s="24">
        <f>FV(taxa_mensal,qtd_anos*12,aporte*-1)</f>
        <v>41888.456999243819</v>
      </c>
    </row>
    <row r="21" spans="1:5" ht="15" customHeight="1" thickBot="1" x14ac:dyDescent="0.3">
      <c r="B21" s="25" t="s">
        <v>4</v>
      </c>
      <c r="C21" s="26"/>
      <c r="D21" s="27">
        <f>patrimonio*rendimento_carteira</f>
        <v>251.33074199546292</v>
      </c>
    </row>
    <row r="22" spans="1:5" ht="9.75" customHeight="1" thickBot="1" x14ac:dyDescent="0.3"/>
    <row r="23" spans="1:5" ht="28.5" customHeight="1" x14ac:dyDescent="0.4">
      <c r="B23" s="39" t="s">
        <v>6</v>
      </c>
      <c r="C23" s="40"/>
      <c r="D23" s="41" t="s">
        <v>12</v>
      </c>
      <c r="E23" s="6"/>
    </row>
    <row r="24" spans="1:5" ht="15.75" x14ac:dyDescent="0.25">
      <c r="A24" s="3">
        <v>2</v>
      </c>
      <c r="B24" s="35" t="s">
        <v>7</v>
      </c>
      <c r="C24" s="42">
        <f>FV($D$19,A24*12,$D$17*-1)</f>
        <v>13613.813648822608</v>
      </c>
      <c r="D24" s="36">
        <f>C24*rendimento_carteira</f>
        <v>81.682881892935654</v>
      </c>
    </row>
    <row r="25" spans="1:5" ht="15.75" x14ac:dyDescent="0.25">
      <c r="A25" s="3">
        <v>5</v>
      </c>
      <c r="B25" s="35" t="s">
        <v>8</v>
      </c>
      <c r="C25" s="42">
        <f>FV($D$19,A25*12,$D$17*-1)</f>
        <v>41888.456999243819</v>
      </c>
      <c r="D25" s="36">
        <f>C25*rendimento_carteira</f>
        <v>251.33074199546292</v>
      </c>
    </row>
    <row r="26" spans="1:5" ht="15.75" x14ac:dyDescent="0.25">
      <c r="A26" s="3">
        <v>10</v>
      </c>
      <c r="B26" s="35" t="s">
        <v>9</v>
      </c>
      <c r="C26" s="42">
        <f>FV($D$19,A26*12,$D$17*-1)</f>
        <v>121642.1062650861</v>
      </c>
      <c r="D26" s="36">
        <f>C26*rendimento_carteira</f>
        <v>729.85263759051657</v>
      </c>
    </row>
    <row r="27" spans="1:5" ht="15.75" x14ac:dyDescent="0.25">
      <c r="A27" s="3">
        <v>20</v>
      </c>
      <c r="B27" s="35" t="s">
        <v>10</v>
      </c>
      <c r="C27" s="42">
        <f>FV($D$19,A27*12,$D$17*-1)</f>
        <v>562599.20004854025</v>
      </c>
      <c r="D27" s="36">
        <f>C27*rendimento_carteira</f>
        <v>3375.5952002912418</v>
      </c>
    </row>
    <row r="28" spans="1:5" ht="16.5" thickBot="1" x14ac:dyDescent="0.3">
      <c r="A28" s="3">
        <v>30</v>
      </c>
      <c r="B28" s="37" t="s">
        <v>11</v>
      </c>
      <c r="C28" s="43">
        <f>FV($D$19,A28*12,$D$17*-1)</f>
        <v>2161084.8275023573</v>
      </c>
      <c r="D28" s="38">
        <f>C28*rendimento_carteira</f>
        <v>12966.508965014144</v>
      </c>
    </row>
    <row r="29" spans="1:5" ht="15.75" thickBot="1" x14ac:dyDescent="0.3">
      <c r="A29" s="3"/>
    </row>
    <row r="30" spans="1:5" ht="15.75" x14ac:dyDescent="0.25">
      <c r="B30" s="44" t="s">
        <v>20</v>
      </c>
      <c r="C30" s="45" t="s">
        <v>17</v>
      </c>
      <c r="D30" s="46"/>
    </row>
    <row r="31" spans="1:5" ht="15.75" hidden="1" x14ac:dyDescent="0.25">
      <c r="B31" s="47"/>
      <c r="C31" s="1"/>
      <c r="D31" s="48"/>
    </row>
    <row r="32" spans="1:5" ht="15.75" hidden="1" x14ac:dyDescent="0.25">
      <c r="B32" s="47"/>
      <c r="C32" s="1"/>
      <c r="D32" s="48"/>
    </row>
    <row r="33" spans="2:4" ht="15.75" hidden="1" x14ac:dyDescent="0.25">
      <c r="B33" s="47"/>
      <c r="C33" s="1"/>
      <c r="D33" s="48"/>
    </row>
    <row r="34" spans="2:4" ht="15.75" hidden="1" x14ac:dyDescent="0.25">
      <c r="B34" s="47"/>
      <c r="C34" s="1"/>
      <c r="D34" s="48"/>
    </row>
    <row r="35" spans="2:4" ht="15.75" hidden="1" x14ac:dyDescent="0.25">
      <c r="B35" s="47"/>
      <c r="C35" s="1"/>
      <c r="D35" s="48"/>
    </row>
    <row r="36" spans="2:4" ht="15.75" hidden="1" x14ac:dyDescent="0.25">
      <c r="B36" s="47"/>
      <c r="C36" s="1"/>
      <c r="D36" s="48"/>
    </row>
    <row r="37" spans="2:4" ht="15.75" hidden="1" x14ac:dyDescent="0.25">
      <c r="B37" s="47"/>
      <c r="C37" s="1"/>
      <c r="D37" s="48"/>
    </row>
    <row r="38" spans="2:4" ht="15.75" hidden="1" x14ac:dyDescent="0.25">
      <c r="B38" s="47"/>
      <c r="C38" s="1"/>
      <c r="D38" s="48"/>
    </row>
    <row r="39" spans="2:4" ht="15.75" hidden="1" x14ac:dyDescent="0.25">
      <c r="B39" s="47"/>
      <c r="C39" s="1"/>
      <c r="D39" s="48"/>
    </row>
    <row r="40" spans="2:4" ht="15.75" hidden="1" x14ac:dyDescent="0.25">
      <c r="B40" s="47"/>
      <c r="C40" s="1"/>
      <c r="D40" s="48"/>
    </row>
    <row r="41" spans="2:4" ht="15.75" hidden="1" x14ac:dyDescent="0.25">
      <c r="B41" s="47"/>
      <c r="C41" s="1"/>
      <c r="D41" s="48"/>
    </row>
    <row r="42" spans="2:4" ht="15.75" hidden="1" x14ac:dyDescent="0.25">
      <c r="B42" s="47"/>
      <c r="C42" s="1"/>
      <c r="D42" s="48"/>
    </row>
    <row r="43" spans="2:4" ht="15.75" hidden="1" x14ac:dyDescent="0.25">
      <c r="B43" s="47"/>
      <c r="C43" s="1"/>
      <c r="D43" s="48"/>
    </row>
    <row r="44" spans="2:4" ht="15.75" hidden="1" x14ac:dyDescent="0.25">
      <c r="B44" s="47"/>
      <c r="C44" s="1"/>
      <c r="D44" s="48"/>
    </row>
    <row r="45" spans="2:4" ht="15.75" hidden="1" x14ac:dyDescent="0.25">
      <c r="B45" s="47"/>
      <c r="C45" s="1"/>
      <c r="D45" s="48"/>
    </row>
    <row r="46" spans="2:4" ht="15.75" hidden="1" x14ac:dyDescent="0.25">
      <c r="B46" s="47"/>
      <c r="C46" s="1"/>
      <c r="D46" s="48"/>
    </row>
    <row r="47" spans="2:4" ht="15.75" hidden="1" x14ac:dyDescent="0.25">
      <c r="B47" s="47"/>
      <c r="C47" s="1"/>
      <c r="D47" s="48"/>
    </row>
    <row r="48" spans="2:4" ht="15.75" hidden="1" x14ac:dyDescent="0.25">
      <c r="B48" s="47"/>
      <c r="C48" s="1"/>
      <c r="D48" s="48"/>
    </row>
    <row r="49" spans="2:4" ht="15.75" hidden="1" x14ac:dyDescent="0.25">
      <c r="B49" s="47"/>
      <c r="C49" s="1"/>
      <c r="D49" s="48"/>
    </row>
    <row r="50" spans="2:4" ht="15.75" hidden="1" x14ac:dyDescent="0.25">
      <c r="B50" s="47"/>
      <c r="C50" s="1"/>
      <c r="D50" s="48"/>
    </row>
    <row r="51" spans="2:4" ht="15.75" hidden="1" x14ac:dyDescent="0.25">
      <c r="B51" s="47"/>
      <c r="C51" s="1"/>
      <c r="D51" s="48"/>
    </row>
    <row r="52" spans="2:4" ht="15.75" hidden="1" x14ac:dyDescent="0.25">
      <c r="B52" s="47"/>
      <c r="C52" s="1"/>
      <c r="D52" s="48"/>
    </row>
    <row r="53" spans="2:4" ht="16.5" thickBot="1" x14ac:dyDescent="0.3">
      <c r="B53" s="49" t="s">
        <v>21</v>
      </c>
      <c r="C53" s="50">
        <v>500</v>
      </c>
      <c r="D53" s="51"/>
    </row>
    <row r="54" spans="2:4" ht="15.75" thickBot="1" x14ac:dyDescent="0.3"/>
    <row r="55" spans="2:4" x14ac:dyDescent="0.25">
      <c r="B55" s="52" t="s">
        <v>22</v>
      </c>
      <c r="C55" s="53" t="s">
        <v>23</v>
      </c>
      <c r="D55" s="54" t="s">
        <v>24</v>
      </c>
    </row>
    <row r="56" spans="2:4" x14ac:dyDescent="0.25">
      <c r="B56" s="55" t="s">
        <v>25</v>
      </c>
      <c r="C56" s="56">
        <f>VLOOKUP($C$30&amp;"-"&amp;B56,Planilha2!A3:D20,4,FALSE)</f>
        <v>0.5</v>
      </c>
      <c r="D56" s="57">
        <f>C56*$C$53</f>
        <v>250</v>
      </c>
    </row>
    <row r="57" spans="2:4" x14ac:dyDescent="0.25">
      <c r="B57" s="55" t="s">
        <v>26</v>
      </c>
      <c r="C57" s="56">
        <f>VLOOKUP($C$30&amp;"-"&amp;B57,Planilha2!A4:D21,4,FALSE)</f>
        <v>0.1</v>
      </c>
      <c r="D57" s="57">
        <f t="shared" ref="D57:D61" si="0">C57*$C$53</f>
        <v>50</v>
      </c>
    </row>
    <row r="58" spans="2:4" x14ac:dyDescent="0.25">
      <c r="B58" s="55" t="s">
        <v>27</v>
      </c>
      <c r="C58" s="56">
        <f>VLOOKUP($C$30&amp;"-"&amp;B58,Planilha2!A5:D22,4,FALSE)</f>
        <v>0.05</v>
      </c>
      <c r="D58" s="57">
        <f t="shared" si="0"/>
        <v>25</v>
      </c>
    </row>
    <row r="59" spans="2:4" x14ac:dyDescent="0.25">
      <c r="B59" s="55" t="s">
        <v>28</v>
      </c>
      <c r="C59" s="56">
        <f>VLOOKUP($C$30&amp;"-"&amp;B59,Planilha2!A6:D23,4,FALSE)</f>
        <v>0.05</v>
      </c>
      <c r="D59" s="57">
        <f t="shared" si="0"/>
        <v>25</v>
      </c>
    </row>
    <row r="60" spans="2:4" x14ac:dyDescent="0.25">
      <c r="B60" s="55" t="s">
        <v>29</v>
      </c>
      <c r="C60" s="56">
        <f>VLOOKUP($C$30&amp;"-"&amp;B60,Planilha2!A7:D24,4,FALSE)</f>
        <v>0.2</v>
      </c>
      <c r="D60" s="57">
        <f t="shared" si="0"/>
        <v>100</v>
      </c>
    </row>
    <row r="61" spans="2:4" x14ac:dyDescent="0.25">
      <c r="B61" s="55" t="s">
        <v>30</v>
      </c>
      <c r="C61" s="56">
        <f>VLOOKUP($C$30&amp;"-"&amp;B61,Planilha2!A8:D25,4,FALSE)</f>
        <v>0.1</v>
      </c>
      <c r="D61" s="57">
        <f t="shared" si="0"/>
        <v>50</v>
      </c>
    </row>
    <row r="62" spans="2:4" ht="15.75" thickBot="1" x14ac:dyDescent="0.3">
      <c r="B62" s="58"/>
      <c r="C62" s="59"/>
      <c r="D62" s="60">
        <f>SUM(D56:D61)</f>
        <v>500</v>
      </c>
    </row>
    <row r="63" spans="2:4" s="2" customFormat="1" x14ac:dyDescent="0.25">
      <c r="B63" s="64"/>
      <c r="C63" s="65"/>
      <c r="D63" s="66"/>
    </row>
    <row r="64" spans="2:4" s="2" customFormat="1" x14ac:dyDescent="0.25">
      <c r="B64" s="64"/>
      <c r="C64" s="65"/>
      <c r="D64" s="66"/>
    </row>
    <row r="65" spans="2:4" s="2" customFormat="1" x14ac:dyDescent="0.25">
      <c r="B65" s="64"/>
      <c r="C65" s="65"/>
      <c r="D65" s="66"/>
    </row>
    <row r="66" spans="2:4" s="2" customFormat="1" x14ac:dyDescent="0.25">
      <c r="B66" s="64"/>
      <c r="C66" s="65"/>
      <c r="D66" s="66"/>
    </row>
    <row r="67" spans="2:4" s="2" customFormat="1" x14ac:dyDescent="0.25">
      <c r="B67" s="64"/>
      <c r="C67" s="65"/>
      <c r="D67" s="66"/>
    </row>
    <row r="68" spans="2:4" s="2" customFormat="1" x14ac:dyDescent="0.25">
      <c r="B68" s="64"/>
      <c r="C68" s="65"/>
      <c r="D68" s="66"/>
    </row>
    <row r="69" spans="2:4" s="2" customFormat="1" x14ac:dyDescent="0.25">
      <c r="B69" s="64"/>
      <c r="C69" s="65"/>
      <c r="D69" s="66"/>
    </row>
    <row r="70" spans="2:4" s="2" customFormat="1" x14ac:dyDescent="0.25">
      <c r="B70" s="64"/>
      <c r="C70" s="65"/>
      <c r="D70" s="66"/>
    </row>
    <row r="71" spans="2:4" s="2" customFormat="1" x14ac:dyDescent="0.25">
      <c r="B71" s="64"/>
      <c r="C71" s="65"/>
      <c r="D71" s="66"/>
    </row>
    <row r="72" spans="2:4" s="2" customFormat="1" x14ac:dyDescent="0.25">
      <c r="B72" s="64"/>
      <c r="C72" s="65"/>
      <c r="D72" s="66"/>
    </row>
    <row r="73" spans="2:4" s="2" customFormat="1" x14ac:dyDescent="0.25">
      <c r="B73" s="64"/>
      <c r="C73" s="65"/>
      <c r="D73" s="66"/>
    </row>
    <row r="74" spans="2:4" s="2" customFormat="1" x14ac:dyDescent="0.25">
      <c r="B74" s="64"/>
      <c r="C74" s="65"/>
      <c r="D74" s="66"/>
    </row>
    <row r="75" spans="2:4" x14ac:dyDescent="0.25"/>
  </sheetData>
  <dataConsolidate/>
  <mergeCells count="11">
    <mergeCell ref="B20:C20"/>
    <mergeCell ref="B21:C21"/>
    <mergeCell ref="B12:C12"/>
    <mergeCell ref="B13:C13"/>
    <mergeCell ref="B14:C14"/>
    <mergeCell ref="B11:D11"/>
    <mergeCell ref="B23:C23"/>
    <mergeCell ref="B16:D16"/>
    <mergeCell ref="B17:C17"/>
    <mergeCell ref="B18:C18"/>
    <mergeCell ref="B19:C19"/>
  </mergeCells>
  <dataValidations count="1">
    <dataValidation type="list" allowBlank="1" showInputMessage="1" showErrorMessage="1" sqref="C30" xr:uid="{A3CFCB3A-D5E2-4109-9B7A-734F434B353E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E1B07-CB1F-4213-A535-E5E17E4698BB}">
  <dimension ref="A2:D20"/>
  <sheetViews>
    <sheetView tabSelected="1" workbookViewId="0">
      <selection activeCell="E8" sqref="E8"/>
    </sheetView>
  </sheetViews>
  <sheetFormatPr defaultRowHeight="15" x14ac:dyDescent="0.25"/>
  <cols>
    <col min="1" max="1" width="32.5703125" customWidth="1"/>
    <col min="2" max="2" width="17.5703125" customWidth="1"/>
    <col min="3" max="3" width="21.28515625" customWidth="1"/>
  </cols>
  <sheetData>
    <row r="2" spans="1:4" x14ac:dyDescent="0.25">
      <c r="A2" s="67" t="s">
        <v>32</v>
      </c>
      <c r="B2" s="67" t="s">
        <v>20</v>
      </c>
      <c r="C2" s="67" t="s">
        <v>31</v>
      </c>
      <c r="D2" s="67" t="s">
        <v>33</v>
      </c>
    </row>
    <row r="3" spans="1:4" x14ac:dyDescent="0.25">
      <c r="A3" s="62" t="str">
        <f>B3&amp;"-"&amp;C3</f>
        <v>Conservador-PAPEL</v>
      </c>
      <c r="B3" s="4" t="s">
        <v>19</v>
      </c>
      <c r="C3" s="4" t="s">
        <v>25</v>
      </c>
      <c r="D3" s="56">
        <v>0.3</v>
      </c>
    </row>
    <row r="4" spans="1:4" x14ac:dyDescent="0.25">
      <c r="A4" t="str">
        <f>B4&amp;"-"&amp;C4</f>
        <v>Conservador-TIJOLO</v>
      </c>
      <c r="B4" s="4" t="s">
        <v>19</v>
      </c>
      <c r="C4" s="4" t="s">
        <v>26</v>
      </c>
      <c r="D4" s="56">
        <v>0.5</v>
      </c>
    </row>
    <row r="5" spans="1:4" x14ac:dyDescent="0.25">
      <c r="A5" t="str">
        <f t="shared" ref="A5:A14" si="0">B5&amp;"-"&amp;C5</f>
        <v>Conservador-HIBRIDOS</v>
      </c>
      <c r="B5" s="4" t="s">
        <v>19</v>
      </c>
      <c r="C5" s="4" t="s">
        <v>27</v>
      </c>
      <c r="D5" s="56">
        <v>0.1</v>
      </c>
    </row>
    <row r="6" spans="1:4" x14ac:dyDescent="0.25">
      <c r="A6" t="str">
        <f t="shared" si="0"/>
        <v>Conservador-FOFs</v>
      </c>
      <c r="B6" s="4" t="s">
        <v>19</v>
      </c>
      <c r="C6" s="4" t="s">
        <v>28</v>
      </c>
      <c r="D6" s="56">
        <v>0.1</v>
      </c>
    </row>
    <row r="7" spans="1:4" x14ac:dyDescent="0.25">
      <c r="A7" t="str">
        <f t="shared" si="0"/>
        <v>Conservador-DESENVOLVIMENTO</v>
      </c>
      <c r="B7" s="4" t="s">
        <v>19</v>
      </c>
      <c r="C7" s="4" t="s">
        <v>29</v>
      </c>
      <c r="D7" s="56">
        <v>0</v>
      </c>
    </row>
    <row r="8" spans="1:4" x14ac:dyDescent="0.25">
      <c r="A8" t="str">
        <f t="shared" si="0"/>
        <v>Conservador-HOTELARIAS</v>
      </c>
      <c r="B8" s="4" t="s">
        <v>19</v>
      </c>
      <c r="C8" s="4" t="s">
        <v>30</v>
      </c>
      <c r="D8" s="56">
        <v>0</v>
      </c>
    </row>
    <row r="9" spans="1:4" x14ac:dyDescent="0.25">
      <c r="A9" s="1" t="str">
        <f t="shared" si="0"/>
        <v>Moderado-PAPEL</v>
      </c>
      <c r="B9" s="5" t="s">
        <v>18</v>
      </c>
      <c r="C9" s="5" t="s">
        <v>25</v>
      </c>
      <c r="D9" s="63">
        <v>0.32</v>
      </c>
    </row>
    <row r="10" spans="1:4" x14ac:dyDescent="0.25">
      <c r="A10" s="1" t="str">
        <f t="shared" si="0"/>
        <v>Moderado-TIJOLO</v>
      </c>
      <c r="B10" s="5" t="s">
        <v>18</v>
      </c>
      <c r="C10" s="5" t="s">
        <v>26</v>
      </c>
      <c r="D10" s="61">
        <v>0.35</v>
      </c>
    </row>
    <row r="11" spans="1:4" x14ac:dyDescent="0.25">
      <c r="A11" s="1" t="str">
        <f t="shared" si="0"/>
        <v>Moderado-HIBRIDOS</v>
      </c>
      <c r="B11" s="5" t="s">
        <v>18</v>
      </c>
      <c r="C11" s="5" t="s">
        <v>27</v>
      </c>
      <c r="D11" s="63">
        <v>0.08</v>
      </c>
    </row>
    <row r="12" spans="1:4" x14ac:dyDescent="0.25">
      <c r="A12" s="1" t="str">
        <f t="shared" si="0"/>
        <v>Moderado-FOFs</v>
      </c>
      <c r="B12" s="5" t="s">
        <v>18</v>
      </c>
      <c r="C12" s="5" t="s">
        <v>28</v>
      </c>
      <c r="D12" s="63">
        <v>0.05</v>
      </c>
    </row>
    <row r="13" spans="1:4" x14ac:dyDescent="0.25">
      <c r="A13" s="1" t="str">
        <f t="shared" si="0"/>
        <v>Moderado-DESENVOLVIMENTO</v>
      </c>
      <c r="B13" s="5" t="s">
        <v>18</v>
      </c>
      <c r="C13" s="5" t="s">
        <v>29</v>
      </c>
      <c r="D13" s="63">
        <v>0.1</v>
      </c>
    </row>
    <row r="14" spans="1:4" x14ac:dyDescent="0.25">
      <c r="A14" s="1" t="str">
        <f t="shared" si="0"/>
        <v>Moderado-HOTELARIAS</v>
      </c>
      <c r="B14" s="5" t="s">
        <v>18</v>
      </c>
      <c r="C14" s="5" t="s">
        <v>30</v>
      </c>
      <c r="D14" s="63">
        <v>0.1</v>
      </c>
    </row>
    <row r="15" spans="1:4" x14ac:dyDescent="0.25">
      <c r="A15" t="str">
        <f>B15&amp;"-"&amp;C15</f>
        <v>Agressivo-PAPEL</v>
      </c>
      <c r="B15" s="4" t="s">
        <v>17</v>
      </c>
      <c r="C15" s="4" t="s">
        <v>25</v>
      </c>
      <c r="D15" s="7">
        <v>0.5</v>
      </c>
    </row>
    <row r="16" spans="1:4" x14ac:dyDescent="0.25">
      <c r="A16" t="str">
        <f>B16&amp;"-"&amp;C16</f>
        <v>Agressivo-TIJOLO</v>
      </c>
      <c r="B16" s="4" t="s">
        <v>17</v>
      </c>
      <c r="C16" s="4" t="s">
        <v>26</v>
      </c>
      <c r="D16" s="7">
        <v>0.1</v>
      </c>
    </row>
    <row r="17" spans="1:4" x14ac:dyDescent="0.25">
      <c r="A17" t="str">
        <f t="shared" ref="A17:A20" si="1">B17&amp;"-"&amp;C17</f>
        <v>Agressivo-HIBRIDOS</v>
      </c>
      <c r="B17" s="4" t="s">
        <v>17</v>
      </c>
      <c r="C17" s="4" t="s">
        <v>27</v>
      </c>
      <c r="D17" s="7">
        <v>0.05</v>
      </c>
    </row>
    <row r="18" spans="1:4" x14ac:dyDescent="0.25">
      <c r="A18" t="str">
        <f t="shared" si="1"/>
        <v>Agressivo-FOFs</v>
      </c>
      <c r="B18" s="4" t="s">
        <v>17</v>
      </c>
      <c r="C18" s="4" t="s">
        <v>28</v>
      </c>
      <c r="D18" s="7">
        <v>0.05</v>
      </c>
    </row>
    <row r="19" spans="1:4" x14ac:dyDescent="0.25">
      <c r="A19" t="str">
        <f t="shared" si="1"/>
        <v>Agressivo-DESENVOLVIMENTO</v>
      </c>
      <c r="B19" s="4" t="s">
        <v>17</v>
      </c>
      <c r="C19" s="4" t="s">
        <v>29</v>
      </c>
      <c r="D19" s="7">
        <v>0.2</v>
      </c>
    </row>
    <row r="20" spans="1:4" x14ac:dyDescent="0.25">
      <c r="A20" t="str">
        <f t="shared" si="1"/>
        <v>Agressivo-HOTELARIAS</v>
      </c>
      <c r="B20" s="4" t="s">
        <v>17</v>
      </c>
      <c r="C20" s="4" t="s">
        <v>30</v>
      </c>
      <c r="D20" s="7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Planilha2</vt:lpstr>
      <vt:lpstr>aporte</vt:lpstr>
      <vt:lpstr>patrimonio</vt:lpstr>
      <vt:lpstr>qtd_anos</vt:lpstr>
      <vt:lpstr>rendimento_carteira</vt:lpstr>
      <vt:lpstr>sugestao</vt:lpstr>
      <vt:lpstr>sugestao_de_investimento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Queiroz Sarnaglia</dc:creator>
  <cp:lastModifiedBy>Thiago Queiroz Sarnaglia</cp:lastModifiedBy>
  <cp:lastPrinted>2026-09-10T17:28:26Z</cp:lastPrinted>
  <dcterms:created xsi:type="dcterms:W3CDTF">2026-09-03T18:57:28Z</dcterms:created>
  <dcterms:modified xsi:type="dcterms:W3CDTF">2026-09-10T18:55:12Z</dcterms:modified>
</cp:coreProperties>
</file>